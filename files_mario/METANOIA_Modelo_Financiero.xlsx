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Modelo 4 años" sheetId="2" state="visible" r:id="rId4"/>
    <sheet name="No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<sst xmlns="http://schemas.openxmlformats.org/spreadsheetml/2006/main" count="83" uniqueCount="79">
  <si>
    <t xml:space="preserve">MODELO FINANCIERO INTEGRADO — METANOIA SMX</t>
  </si>
  <si>
    <t xml:space="preserve">Cifras en $ millones ARS · pesos constantes · TC y supuestos en azul son editables</t>
  </si>
  <si>
    <t xml:space="preserve">PARÁMETROS GENERALES</t>
  </si>
  <si>
    <t xml:space="preserve">Tipo de cambio (ARS/USD)</t>
  </si>
  <si>
    <t xml:space="preserve">Reinversión tecnológica (% de utilidad)</t>
  </si>
  <si>
    <t xml:space="preserve">Nota: modelo en pesos constantes. La indexación 100% IPC del MSP mantiene su valor real ≈ constante.</t>
  </si>
  <si>
    <t xml:space="preserve">LÍNEA A — CONVENIO MSP (Ministerio)</t>
  </si>
  <si>
    <t xml:space="preserve">Ingreso mensual ($ millones)</t>
  </si>
  <si>
    <t xml:space="preserve">Meses por año</t>
  </si>
  <si>
    <t xml:space="preserve">Costo de prestación (% del ingreso) — COMPLETAR con AUREN</t>
  </si>
  <si>
    <t xml:space="preserve">Horizonte estratégico (años, supuesto político ≥4)</t>
  </si>
  <si>
    <t xml:space="preserve">LÍNEA C — CURSOS (base: programa anual laparoscopía)</t>
  </si>
  <si>
    <t xml:space="preserve">Ingreso USD — Año 1 (ocup. 50%)</t>
  </si>
  <si>
    <t xml:space="preserve">Ingreso USD — Año 2 (ocup. 70%)</t>
  </si>
  <si>
    <t xml:space="preserve">Ingreso USD — Año 3 (ocup. 85%)</t>
  </si>
  <si>
    <t xml:space="preserve">Ingreso USD — Año 4</t>
  </si>
  <si>
    <t xml:space="preserve">Margen bruto Año 1</t>
  </si>
  <si>
    <t xml:space="preserve">Margen bruto Año 2</t>
  </si>
  <si>
    <t xml:space="preserve">Margen bruto Año 3-4</t>
  </si>
  <si>
    <t xml:space="preserve">Factor de escala de cursos desde Año 2 — objetivo ~4 (4 cursos/mes 2027)</t>
  </si>
  <si>
    <t xml:space="preserve">LÍNEA D — COFRADIA (suscripciones)</t>
  </si>
  <si>
    <t xml:space="preserve">Ingreso USD — Año 1</t>
  </si>
  <si>
    <t xml:space="preserve">Ingreso USD — Año 2</t>
  </si>
  <si>
    <t xml:space="preserve">Crecimiento anual Año 3-4 (sobre año previo)</t>
  </si>
  <si>
    <t xml:space="preserve">Costo expertos USD — Año 1</t>
  </si>
  <si>
    <t xml:space="preserve">Costo expertos USD — Año 2</t>
  </si>
  <si>
    <t xml:space="preserve">Costo expertos (% del ingreso) Año 3-4</t>
  </si>
  <si>
    <t xml:space="preserve">COSTO FIJO COMPARTIDO (redes + médicos curadores)</t>
  </si>
  <si>
    <t xml:space="preserve">Costo mensual ($ millones)</t>
  </si>
  <si>
    <t xml:space="preserve">ASIGNACIÓN INTERNA DEL COSTO COMPARTIDO AL MSP (% por año)</t>
  </si>
  <si>
    <t xml:space="preserve">Año 1 (el convenio subsidia la comunidad)</t>
  </si>
  <si>
    <t xml:space="preserve">Año 2</t>
  </si>
  <si>
    <t xml:space="preserve">Año 3</t>
  </si>
  <si>
    <t xml:space="preserve">Año 4</t>
  </si>
  <si>
    <t xml:space="preserve">Nota: la asignación es atribución interna; no cambia la utilidad total, refleja la política de que el MSP subsidie la construcción de comunidad al inicio.</t>
  </si>
  <si>
    <t xml:space="preserve">MODELO CONSOLIDADO — 4 AÑOS</t>
  </si>
  <si>
    <t xml:space="preserve">$ millones ARS · pesos constantes</t>
  </si>
  <si>
    <t xml:space="preserve">Concepto</t>
  </si>
  <si>
    <t xml:space="preserve">Año 1</t>
  </si>
  <si>
    <t xml:space="preserve">INGRESOS</t>
  </si>
  <si>
    <t xml:space="preserve">Línea A — Convenio MSP</t>
  </si>
  <si>
    <t xml:space="preserve">Línea C — Cursos (laparoscopía + escala)</t>
  </si>
  <si>
    <t xml:space="preserve">Línea D — COFRADIA (suscripciones)</t>
  </si>
  <si>
    <t xml:space="preserve">TOTAL INGRESOS</t>
  </si>
  <si>
    <t xml:space="preserve">COSTOS</t>
  </si>
  <si>
    <t xml:space="preserve">Costo prestación MSP</t>
  </si>
  <si>
    <t xml:space="preserve">Costo directo Cursos</t>
  </si>
  <si>
    <t xml:space="preserve">Costo expertos COFRADIA</t>
  </si>
  <si>
    <t xml:space="preserve">Costo fijo compartido</t>
  </si>
  <si>
    <t xml:space="preserve">TOTAL COSTOS</t>
  </si>
  <si>
    <t xml:space="preserve">RESULTADO</t>
  </si>
  <si>
    <t xml:space="preserve">Utilidad operativa</t>
  </si>
  <si>
    <t xml:space="preserve">Margen operativo %</t>
  </si>
  <si>
    <t xml:space="preserve">Reinversión tecnológica (15%)</t>
  </si>
  <si>
    <t xml:space="preserve">Utilidad después de reinversión</t>
  </si>
  <si>
    <t xml:space="preserve">AUTONOMÍA / DEPENDENCIA</t>
  </si>
  <si>
    <t xml:space="preserve">% ingresos Convenio MSP (dependencia)</t>
  </si>
  <si>
    <t xml:space="preserve">% ingresos privados (C+D)</t>
  </si>
  <si>
    <t xml:space="preserve">Meta dependencia MSP &lt; 40%</t>
  </si>
  <si>
    <t xml:space="preserve">ATRIBUCIÓN INTERNA DEL COSTO COMPARTIDO</t>
  </si>
  <si>
    <t xml:space="preserve">Cargado al Convenio MSP</t>
  </si>
  <si>
    <t xml:space="preserve">Cargado a Cursos + COFRADIA</t>
  </si>
  <si>
    <t xml:space="preserve">NOTAS, SUPUESTOS Y PENDIENTES</t>
  </si>
  <si>
    <t xml:space="preserve">MONEDA Y HORIZONTE</t>
  </si>
  <si>
    <t xml:space="preserve">• Modelo en pesos constantes (reales) a TC $1.450. La indexación 100% IPC del MSP mantiene su valor real ≈ constante; por eso el convenio se mantiene plano en términos reales.</t>
  </si>
  <si>
    <t xml:space="preserve">• Para una vista nominal en pesos haría falta una proyección de inflación (validar con AUREN).</t>
  </si>
  <si>
    <t xml:space="preserve">DATOS A COMPLETAR / VALIDAR CON AUREN (celdas amarillas)</t>
  </si>
  <si>
    <t xml:space="preserve">• Costo de prestación del Convenio MSP (hoy 50% placeholder): instructores de residentes, insumos, amortización. Es el dato que más mueve la utilidad. SIN ESTO, la utilidad es estimada.</t>
  </si>
  <si>
    <t xml:space="preserve">• Costo fijo compartido $10M/mes (redes + curadores): confirmar si es el total y si crece al sumar especialidades.</t>
  </si>
  <si>
    <t xml:space="preserve">SUPUESTOS CLAVE</t>
  </si>
  <si>
    <t xml:space="preserve">• Línea C (cursos): ingresos y márgenes del Resumen Ejecutivo de laparoscopía (USD), convertidos a $1.450.</t>
  </si>
  <si>
    <t xml:space="preserve">• Factor de escala de cursos (celda B23 de Supuestos): por defecto 1.0 (solo laparoscopía). Tu objetivo declarado es ~4 cursos/mes desde 2027 (Año 2): poné 4 para ver ese escenario.</t>
  </si>
  <si>
    <t xml:space="preserve">• Línea D (COFRADIA): Años 1-2 del modelo de suscripciones (escenario esperado); Años 3-4 extrapolados con crecimiento (celda B28).</t>
  </si>
  <si>
    <t xml:space="preserve">• Política de costos: el costo compartido se carga mayormente al MSP en los primeros años (Supuestos B38-B41), para que el convenio subsidie la construcción de la comunidad.</t>
  </si>
  <si>
    <t xml:space="preserve">LECTURA ESTRATÉGICA</t>
  </si>
  <si>
    <t xml:space="preserve">• La meta 'ningún ingreso &gt; 40%' NO se alcanza con COFRADIA sola al ritmo base.</t>
  </si>
  <si>
    <t xml:space="preserve">• El driver real de autonomía es la línea C (cursos). Con el factor de escala en 1.0 la dependencia del MSP se mantiene alta; subiéndolo hacia 3-4 (tu objetivo 2027) la dependencia baja del 40%.</t>
  </si>
  <si>
    <t xml:space="preserve">• Escalar cursos exige capacidad: instructores, capital de trabajo (12-18 meses de fijos) y crecimiento del costo compartido. El modelo escala costos de cursos de forma proporcional al margen, pero esos límites son reales.</t>
  </si>
  <si>
    <t xml:space="preserve">ESTE MODELO NO ES ASESORAMIENTO FINANCIERO. Es una herramienta de gestión para decidir con datos; validar supuestos y resultados con AUREN antes de tomar decisiones.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</si>
</sst>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.0;&quot;($&quot;#,##0.0\);\-"/>
    <numFmt numFmtId="168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00A1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500A1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1450</v>
      </c>
    </row>
    <row r="6" customFormat="false" ht="15" hidden="false" customHeight="false" outlineLevel="0" collapsed="false">
      <c r="A6" s="4" t="s">
        <v>4</v>
      </c>
      <c r="B6" s="6" t="n">
        <v>0.15</v>
      </c>
    </row>
    <row r="7" customFormat="false" ht="15" hidden="false" customHeight="false" outlineLevel="0" collapsed="false">
      <c r="A7" s="2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  <c r="B10" s="7" t="n">
        <v>80</v>
      </c>
    </row>
    <row r="11" customFormat="false" ht="15" hidden="false" customHeight="false" outlineLevel="0" collapsed="false">
      <c r="A11" s="4" t="s">
        <v>8</v>
      </c>
      <c r="B11" s="8" t="n">
        <v>12</v>
      </c>
    </row>
    <row r="12" customFormat="false" ht="15" hidden="false" customHeight="false" outlineLevel="0" collapsed="false">
      <c r="A12" s="4" t="s">
        <v>9</v>
      </c>
      <c r="B12" s="9" t="n">
        <v>0.5</v>
      </c>
    </row>
    <row r="13" customFormat="false" ht="15" hidden="false" customHeight="false" outlineLevel="0" collapsed="false">
      <c r="A13" s="4" t="s">
        <v>10</v>
      </c>
      <c r="B13" s="8" t="n">
        <v>4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  <c r="B16" s="8" t="n">
        <v>186000</v>
      </c>
    </row>
    <row r="17" customFormat="false" ht="15" hidden="false" customHeight="false" outlineLevel="0" collapsed="false">
      <c r="A17" s="4" t="s">
        <v>13</v>
      </c>
      <c r="B17" s="8" t="n">
        <v>340000</v>
      </c>
    </row>
    <row r="18" customFormat="false" ht="15" hidden="false" customHeight="false" outlineLevel="0" collapsed="false">
      <c r="A18" s="4" t="s">
        <v>14</v>
      </c>
      <c r="B18" s="8" t="n">
        <v>507000</v>
      </c>
    </row>
    <row r="19" customFormat="false" ht="15" hidden="false" customHeight="false" outlineLevel="0" collapsed="false">
      <c r="A19" s="4" t="s">
        <v>15</v>
      </c>
      <c r="B19" s="8" t="n">
        <v>507000</v>
      </c>
    </row>
    <row r="20" customFormat="false" ht="15" hidden="false" customHeight="false" outlineLevel="0" collapsed="false">
      <c r="A20" s="4" t="s">
        <v>16</v>
      </c>
      <c r="B20" s="6" t="n">
        <v>0.35</v>
      </c>
    </row>
    <row r="21" customFormat="false" ht="15" hidden="false" customHeight="false" outlineLevel="0" collapsed="false">
      <c r="A21" s="4" t="s">
        <v>17</v>
      </c>
      <c r="B21" s="6" t="n">
        <v>0.5</v>
      </c>
    </row>
    <row r="22" customFormat="false" ht="15" hidden="false" customHeight="false" outlineLevel="0" collapsed="false">
      <c r="A22" s="4" t="s">
        <v>18</v>
      </c>
      <c r="B22" s="6" t="n">
        <v>0.6</v>
      </c>
    </row>
    <row r="23" customFormat="false" ht="15" hidden="false" customHeight="false" outlineLevel="0" collapsed="false">
      <c r="A23" s="4" t="s">
        <v>19</v>
      </c>
      <c r="B23" s="10" t="n">
        <v>1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  <c r="B26" s="8" t="n">
        <v>28535</v>
      </c>
    </row>
    <row r="27" customFormat="false" ht="15" hidden="false" customHeight="false" outlineLevel="0" collapsed="false">
      <c r="A27" s="4" t="s">
        <v>22</v>
      </c>
      <c r="B27" s="8" t="n">
        <v>73876</v>
      </c>
    </row>
    <row r="28" customFormat="false" ht="15" hidden="false" customHeight="false" outlineLevel="0" collapsed="false">
      <c r="A28" s="4" t="s">
        <v>23</v>
      </c>
      <c r="B28" s="6" t="n">
        <v>0.4</v>
      </c>
    </row>
    <row r="29" customFormat="false" ht="15" hidden="false" customHeight="false" outlineLevel="0" collapsed="false">
      <c r="A29" s="4" t="s">
        <v>24</v>
      </c>
      <c r="B29" s="8" t="n">
        <v>18270</v>
      </c>
    </row>
    <row r="30" customFormat="false" ht="15" hidden="false" customHeight="false" outlineLevel="0" collapsed="false">
      <c r="A30" s="4" t="s">
        <v>25</v>
      </c>
      <c r="B30" s="8" t="n">
        <v>39150</v>
      </c>
    </row>
    <row r="31" customFormat="false" ht="15" hidden="false" customHeight="false" outlineLevel="0" collapsed="false">
      <c r="A31" s="4" t="s">
        <v>26</v>
      </c>
      <c r="B31" s="6" t="n">
        <v>0.53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4" t="s">
        <v>28</v>
      </c>
      <c r="B34" s="7" t="n">
        <v>10</v>
      </c>
    </row>
    <row r="35" customFormat="false" ht="15" hidden="false" customHeight="false" outlineLevel="0" collapsed="false">
      <c r="A35" s="4" t="s">
        <v>8</v>
      </c>
      <c r="B35" s="11" t="n">
        <v>12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4" t="s">
        <v>30</v>
      </c>
      <c r="B38" s="6" t="n">
        <v>0.8</v>
      </c>
    </row>
    <row r="39" customFormat="false" ht="15" hidden="false" customHeight="false" outlineLevel="0" collapsed="false">
      <c r="A39" s="4" t="s">
        <v>31</v>
      </c>
      <c r="B39" s="6" t="n">
        <v>0.6</v>
      </c>
    </row>
    <row r="40" customFormat="false" ht="15" hidden="false" customHeight="false" outlineLevel="0" collapsed="false">
      <c r="A40" s="4" t="s">
        <v>32</v>
      </c>
      <c r="B40" s="6" t="n">
        <v>0.4</v>
      </c>
    </row>
    <row r="41" customFormat="false" ht="15" hidden="false" customHeight="false" outlineLevel="0" collapsed="false">
      <c r="A41" s="4" t="s">
        <v>33</v>
      </c>
      <c r="B41" s="6" t="n">
        <v>0.3</v>
      </c>
    </row>
    <row r="43" customFormat="false" ht="15" hidden="false" customHeight="false" outlineLevel="0" collapsed="false">
      <c r="A43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3" customFormat="false" ht="15" hidden="false" customHeight="false" outlineLevel="0" collapsed="false">
      <c r="A3" s="12" t="s">
        <v>37</v>
      </c>
      <c r="B3" s="13" t="s">
        <v>38</v>
      </c>
      <c r="C3" s="13" t="s">
        <v>31</v>
      </c>
      <c r="D3" s="13" t="s">
        <v>32</v>
      </c>
      <c r="E3" s="13" t="s">
        <v>33</v>
      </c>
    </row>
    <row r="4" customFormat="false" ht="15" hidden="false" customHeight="false" outlineLevel="0" collapsed="false">
      <c r="A4" s="14" t="s">
        <v>39</v>
      </c>
      <c r="B4" s="15"/>
      <c r="C4" s="15"/>
      <c r="D4" s="15"/>
      <c r="E4" s="15"/>
    </row>
    <row r="5" customFormat="false" ht="15" hidden="false" customHeight="false" outlineLevel="0" collapsed="false">
      <c r="A5" s="4" t="s">
        <v>40</v>
      </c>
      <c r="B5" s="16" t="n">
        <f aca="false">Supuestos!$B$10*Supuestos!$B$11</f>
        <v>960</v>
      </c>
      <c r="C5" s="16" t="n">
        <f aca="false">Supuestos!$B$10*Supuestos!$B$11</f>
        <v>960</v>
      </c>
      <c r="D5" s="16" t="n">
        <f aca="false">Supuestos!$B$10*Supuestos!$B$11</f>
        <v>960</v>
      </c>
      <c r="E5" s="16" t="n">
        <f aca="false">Supuestos!$B$10*Supuestos!$B$11</f>
        <v>960</v>
      </c>
    </row>
    <row r="6" customFormat="false" ht="15" hidden="false" customHeight="false" outlineLevel="0" collapsed="false">
      <c r="A6" s="4" t="s">
        <v>41</v>
      </c>
      <c r="B6" s="16" t="n">
        <f aca="false">Supuestos!B16*Supuestos!$B$5/1000000</f>
        <v>269.7</v>
      </c>
      <c r="C6" s="16" t="n">
        <f aca="false">Supuestos!B17*Supuestos!$B$5/1000000*Supuestos!$B$23</f>
        <v>493</v>
      </c>
      <c r="D6" s="16" t="n">
        <f aca="false">Supuestos!B18*Supuestos!$B$5/1000000*Supuestos!$B$23</f>
        <v>735.15</v>
      </c>
      <c r="E6" s="16" t="n">
        <f aca="false">Supuestos!B19*Supuestos!$B$5/1000000*Supuestos!$B$23</f>
        <v>735.15</v>
      </c>
    </row>
    <row r="7" customFormat="false" ht="15" hidden="false" customHeight="false" outlineLevel="0" collapsed="false">
      <c r="A7" s="4" t="s">
        <v>42</v>
      </c>
      <c r="B7" s="16" t="n">
        <f aca="false">Supuestos!B26*Supuestos!$B$5/1000000</f>
        <v>41.37575</v>
      </c>
      <c r="C7" s="16" t="n">
        <f aca="false">Supuestos!B27*Supuestos!$B$5/1000000</f>
        <v>107.1202</v>
      </c>
      <c r="D7" s="16" t="n">
        <f aca="false">C7*(1+Supuestos!$B$28)</f>
        <v>149.96828</v>
      </c>
      <c r="E7" s="16" t="n">
        <f aca="false">D7*(1+Supuestos!$B$28)</f>
        <v>209.955592</v>
      </c>
    </row>
    <row r="8" customFormat="false" ht="15" hidden="false" customHeight="false" outlineLevel="0" collapsed="false">
      <c r="A8" s="17" t="s">
        <v>43</v>
      </c>
      <c r="B8" s="18" t="n">
        <f aca="false">SUM(B5:B7)</f>
        <v>1271.07575</v>
      </c>
      <c r="C8" s="18" t="n">
        <f aca="false">SUM(C5:C7)</f>
        <v>1560.1202</v>
      </c>
      <c r="D8" s="18" t="n">
        <f aca="false">SUM(D5:D7)</f>
        <v>1845.11828</v>
      </c>
      <c r="E8" s="18" t="n">
        <f aca="false">SUM(E5:E7)</f>
        <v>1905.105592</v>
      </c>
    </row>
    <row r="10" customFormat="false" ht="15" hidden="false" customHeight="false" outlineLevel="0" collapsed="false">
      <c r="A10" s="14" t="s">
        <v>44</v>
      </c>
      <c r="B10" s="15"/>
      <c r="C10" s="15"/>
      <c r="D10" s="15"/>
      <c r="E10" s="15"/>
    </row>
    <row r="11" customFormat="false" ht="15" hidden="false" customHeight="false" outlineLevel="0" collapsed="false">
      <c r="A11" s="4" t="s">
        <v>45</v>
      </c>
      <c r="B11" s="19" t="n">
        <f aca="false">B5*Supuestos!$B$12</f>
        <v>480</v>
      </c>
      <c r="C11" s="19" t="n">
        <f aca="false">C5*Supuestos!$B$12</f>
        <v>480</v>
      </c>
      <c r="D11" s="19" t="n">
        <f aca="false">D5*Supuestos!$B$12</f>
        <v>480</v>
      </c>
      <c r="E11" s="19" t="n">
        <f aca="false">E5*Supuestos!$B$12</f>
        <v>480</v>
      </c>
    </row>
    <row r="12" customFormat="false" ht="15" hidden="false" customHeight="false" outlineLevel="0" collapsed="false">
      <c r="A12" s="4" t="s">
        <v>46</v>
      </c>
      <c r="B12" s="19" t="n">
        <f aca="false">B6*(1-Supuestos!$B$20)</f>
        <v>175.305</v>
      </c>
      <c r="C12" s="19" t="n">
        <f aca="false">C6*(1-Supuestos!$B$21)</f>
        <v>246.5</v>
      </c>
      <c r="D12" s="19" t="n">
        <f aca="false">D6*(1-Supuestos!$B$22)</f>
        <v>294.06</v>
      </c>
      <c r="E12" s="19" t="n">
        <f aca="false">E6*(1-Supuestos!$B$22)</f>
        <v>294.06</v>
      </c>
    </row>
    <row r="13" customFormat="false" ht="15" hidden="false" customHeight="false" outlineLevel="0" collapsed="false">
      <c r="A13" s="4" t="s">
        <v>47</v>
      </c>
      <c r="B13" s="19" t="n">
        <f aca="false">Supuestos!B29*Supuestos!$B$5/1000000</f>
        <v>26.4915</v>
      </c>
      <c r="C13" s="19" t="n">
        <f aca="false">Supuestos!B30*Supuestos!$B$5/1000000</f>
        <v>56.7675</v>
      </c>
      <c r="D13" s="19" t="n">
        <f aca="false">D7*Supuestos!$B$31</f>
        <v>79.4831884</v>
      </c>
      <c r="E13" s="19" t="n">
        <f aca="false">E7*Supuestos!$B$31</f>
        <v>111.27646376</v>
      </c>
    </row>
    <row r="14" customFormat="false" ht="15" hidden="false" customHeight="false" outlineLevel="0" collapsed="false">
      <c r="A14" s="4" t="s">
        <v>48</v>
      </c>
      <c r="B14" s="16" t="n">
        <f aca="false">Supuestos!$B$34*Supuestos!$B$35</f>
        <v>120</v>
      </c>
      <c r="C14" s="16" t="n">
        <f aca="false">Supuestos!$B$34*Supuestos!$B$35</f>
        <v>120</v>
      </c>
      <c r="D14" s="16" t="n">
        <f aca="false">Supuestos!$B$34*Supuestos!$B$35</f>
        <v>120</v>
      </c>
      <c r="E14" s="16" t="n">
        <f aca="false">Supuestos!$B$34*Supuestos!$B$35</f>
        <v>120</v>
      </c>
    </row>
    <row r="15" customFormat="false" ht="15" hidden="false" customHeight="false" outlineLevel="0" collapsed="false">
      <c r="A15" s="17" t="s">
        <v>49</v>
      </c>
      <c r="B15" s="18" t="n">
        <f aca="false">SUM(B11:B14)</f>
        <v>801.7965</v>
      </c>
      <c r="C15" s="18" t="n">
        <f aca="false">SUM(C11:C14)</f>
        <v>903.2675</v>
      </c>
      <c r="D15" s="18" t="n">
        <f aca="false">SUM(D11:D14)</f>
        <v>973.5431884</v>
      </c>
      <c r="E15" s="18" t="n">
        <f aca="false">SUM(E11:E14)</f>
        <v>1005.33646376</v>
      </c>
    </row>
    <row r="17" customFormat="false" ht="15" hidden="false" customHeight="false" outlineLevel="0" collapsed="false">
      <c r="A17" s="14" t="s">
        <v>50</v>
      </c>
      <c r="B17" s="15"/>
      <c r="C17" s="15"/>
      <c r="D17" s="15"/>
      <c r="E17" s="15"/>
    </row>
    <row r="18" customFormat="false" ht="15" hidden="false" customHeight="false" outlineLevel="0" collapsed="false">
      <c r="A18" s="17" t="s">
        <v>51</v>
      </c>
      <c r="B18" s="18" t="n">
        <f aca="false">B8-B15</f>
        <v>469.27925</v>
      </c>
      <c r="C18" s="18" t="n">
        <f aca="false">C8-C15</f>
        <v>656.8527</v>
      </c>
      <c r="D18" s="18" t="n">
        <f aca="false">D8-D15</f>
        <v>871.5750916</v>
      </c>
      <c r="E18" s="18" t="n">
        <f aca="false">E8-E15</f>
        <v>899.76912824</v>
      </c>
    </row>
    <row r="19" customFormat="false" ht="15" hidden="false" customHeight="false" outlineLevel="0" collapsed="false">
      <c r="A19" s="4" t="s">
        <v>52</v>
      </c>
      <c r="B19" s="20" t="n">
        <f aca="false">B18/B8</f>
        <v>0.369198491907347</v>
      </c>
      <c r="C19" s="20" t="n">
        <f aca="false">C18/C8</f>
        <v>0.42102698240815</v>
      </c>
      <c r="D19" s="20" t="n">
        <f aca="false">D18/D8</f>
        <v>0.472368140865202</v>
      </c>
      <c r="E19" s="20" t="n">
        <f aca="false">E18/E8</f>
        <v>0.472293573657202</v>
      </c>
    </row>
    <row r="20" customFormat="false" ht="15" hidden="false" customHeight="false" outlineLevel="0" collapsed="false">
      <c r="A20" s="4" t="s">
        <v>53</v>
      </c>
      <c r="B20" s="16" t="n">
        <f aca="false">MAX(B18,0)*Supuestos!$B$6</f>
        <v>70.3918875</v>
      </c>
      <c r="C20" s="16" t="n">
        <f aca="false">MAX(C18,0)*Supuestos!$B$6</f>
        <v>98.527905</v>
      </c>
      <c r="D20" s="16" t="n">
        <f aca="false">MAX(D18,0)*Supuestos!$B$6</f>
        <v>130.73626374</v>
      </c>
      <c r="E20" s="16" t="n">
        <f aca="false">MAX(E18,0)*Supuestos!$B$6</f>
        <v>134.965369236</v>
      </c>
    </row>
    <row r="21" customFormat="false" ht="15" hidden="false" customHeight="false" outlineLevel="0" collapsed="false">
      <c r="A21" s="17" t="s">
        <v>54</v>
      </c>
      <c r="B21" s="18" t="n">
        <f aca="false">B18-B20</f>
        <v>398.8873625</v>
      </c>
      <c r="C21" s="18" t="n">
        <f aca="false">C18-C20</f>
        <v>558.324795</v>
      </c>
      <c r="D21" s="18" t="n">
        <f aca="false">D18-D20</f>
        <v>740.83882786</v>
      </c>
      <c r="E21" s="18" t="n">
        <f aca="false">E18-E20</f>
        <v>764.803759004</v>
      </c>
    </row>
    <row r="23" customFormat="false" ht="15" hidden="false" customHeight="false" outlineLevel="0" collapsed="false">
      <c r="A23" s="14" t="s">
        <v>55</v>
      </c>
      <c r="B23" s="15"/>
      <c r="C23" s="15"/>
      <c r="D23" s="15"/>
      <c r="E23" s="15"/>
    </row>
    <row r="24" customFormat="false" ht="15" hidden="false" customHeight="false" outlineLevel="0" collapsed="false">
      <c r="A24" s="17" t="s">
        <v>56</v>
      </c>
      <c r="B24" s="21" t="n">
        <f aca="false">B5/B8</f>
        <v>0.755265766025353</v>
      </c>
      <c r="C24" s="21" t="n">
        <f aca="false">C5/C8</f>
        <v>0.615337202864241</v>
      </c>
      <c r="D24" s="21" t="n">
        <f aca="false">D5/D8</f>
        <v>0.520291848173549</v>
      </c>
      <c r="E24" s="21" t="n">
        <f aca="false">E5/E8</f>
        <v>0.503909076762607</v>
      </c>
    </row>
    <row r="25" customFormat="false" ht="15" hidden="false" customHeight="false" outlineLevel="0" collapsed="false">
      <c r="A25" s="4" t="s">
        <v>57</v>
      </c>
      <c r="B25" s="20" t="n">
        <f aca="false">(B6+B7)/B8</f>
        <v>0.244734233974647</v>
      </c>
      <c r="C25" s="20" t="n">
        <f aca="false">(C6+C7)/C8</f>
        <v>0.384662797135759</v>
      </c>
      <c r="D25" s="20" t="n">
        <f aca="false">(D6+D7)/D8</f>
        <v>0.479708151826451</v>
      </c>
      <c r="E25" s="20" t="n">
        <f aca="false">(E6+E7)/E8</f>
        <v>0.496090923237393</v>
      </c>
    </row>
    <row r="26" customFormat="false" ht="15" hidden="false" customHeight="false" outlineLevel="0" collapsed="false">
      <c r="A26" s="4" t="s">
        <v>58</v>
      </c>
      <c r="B26" s="22" t="str">
        <f aca="false">IF(B24&lt;0.4,"✓ cumple","✗ no")</f>
        <v>✗ no</v>
      </c>
      <c r="C26" s="22" t="str">
        <f aca="false">IF(C24&lt;0.4,"✓ cumple","✗ no")</f>
        <v>✗ no</v>
      </c>
      <c r="D26" s="22" t="str">
        <f aca="false">IF(D24&lt;0.4,"✓ cumple","✗ no")</f>
        <v>✗ no</v>
      </c>
      <c r="E26" s="22" t="str">
        <f aca="false">IF(E24&lt;0.4,"✓ cumple","✗ no")</f>
        <v>✗ no</v>
      </c>
    </row>
    <row r="28" customFormat="false" ht="15" hidden="false" customHeight="false" outlineLevel="0" collapsed="false">
      <c r="A28" s="14" t="s">
        <v>59</v>
      </c>
      <c r="B28" s="15"/>
      <c r="C28" s="15"/>
      <c r="D28" s="15"/>
      <c r="E28" s="15"/>
    </row>
    <row r="29" customFormat="false" ht="15" hidden="false" customHeight="false" outlineLevel="0" collapsed="false">
      <c r="A29" s="4" t="s">
        <v>60</v>
      </c>
      <c r="B29" s="16" t="n">
        <f aca="false">B14*Supuestos!$B$38</f>
        <v>96</v>
      </c>
      <c r="C29" s="16" t="n">
        <f aca="false">C14*Supuestos!$B$39</f>
        <v>72</v>
      </c>
      <c r="D29" s="16" t="n">
        <f aca="false">D14*Supuestos!$B$40</f>
        <v>48</v>
      </c>
      <c r="E29" s="16" t="n">
        <f aca="false">E14*Supuestos!$B$41</f>
        <v>36</v>
      </c>
    </row>
    <row r="30" customFormat="false" ht="15" hidden="false" customHeight="false" outlineLevel="0" collapsed="false">
      <c r="A30" s="4" t="s">
        <v>61</v>
      </c>
      <c r="B30" s="19" t="n">
        <f aca="false">B14-B29</f>
        <v>24</v>
      </c>
      <c r="C30" s="19" t="n">
        <f aca="false">C14-C29</f>
        <v>48</v>
      </c>
      <c r="D30" s="19" t="n">
        <f aca="false">D14-D29</f>
        <v>72</v>
      </c>
      <c r="E30" s="19" t="n">
        <f aca="false">E14-E29</f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17" t="s">
        <v>63</v>
      </c>
    </row>
    <row r="4" customFormat="false" ht="15" hidden="false" customHeight="false" outlineLevel="0" collapsed="false">
      <c r="A4" s="23" t="s">
        <v>64</v>
      </c>
    </row>
    <row r="5" customFormat="false" ht="15" hidden="false" customHeight="false" outlineLevel="0" collapsed="false">
      <c r="A5" s="23" t="s">
        <v>65</v>
      </c>
    </row>
    <row r="6" customFormat="false" ht="15" hidden="false" customHeight="false" outlineLevel="0" collapsed="false">
      <c r="A6" s="23"/>
    </row>
    <row r="7" customFormat="false" ht="15" hidden="false" customHeight="false" outlineLevel="0" collapsed="false">
      <c r="A7" s="23" t="s">
        <v>66</v>
      </c>
    </row>
    <row r="8" customFormat="false" ht="15" hidden="false" customHeight="false" outlineLevel="0" collapsed="false">
      <c r="A8" s="23" t="s">
        <v>67</v>
      </c>
    </row>
    <row r="9" customFormat="false" ht="15" hidden="false" customHeight="false" outlineLevel="0" collapsed="false">
      <c r="A9" s="23" t="s">
        <v>68</v>
      </c>
    </row>
    <row r="10" customFormat="false" ht="15" hidden="false" customHeight="false" outlineLevel="0" collapsed="false">
      <c r="A10" s="23"/>
    </row>
    <row r="11" customFormat="false" ht="15" hidden="false" customHeight="false" outlineLevel="0" collapsed="false">
      <c r="A11" s="17" t="s">
        <v>69</v>
      </c>
    </row>
    <row r="12" customFormat="false" ht="15" hidden="false" customHeight="false" outlineLevel="0" collapsed="false">
      <c r="A12" s="23" t="s">
        <v>70</v>
      </c>
    </row>
    <row r="13" customFormat="false" ht="15" hidden="false" customHeight="false" outlineLevel="0" collapsed="false">
      <c r="A13" s="23" t="s">
        <v>71</v>
      </c>
    </row>
    <row r="14" customFormat="false" ht="15" hidden="false" customHeight="false" outlineLevel="0" collapsed="false">
      <c r="A14" s="23" t="s">
        <v>72</v>
      </c>
    </row>
    <row r="15" customFormat="false" ht="15" hidden="false" customHeight="false" outlineLevel="0" collapsed="false">
      <c r="A15" s="23" t="s">
        <v>73</v>
      </c>
    </row>
    <row r="16" customFormat="false" ht="15" hidden="false" customHeight="false" outlineLevel="0" collapsed="false">
      <c r="A16" s="23"/>
    </row>
    <row r="17" customFormat="false" ht="15" hidden="false" customHeight="false" outlineLevel="0" collapsed="false">
      <c r="A17" s="17" t="s">
        <v>74</v>
      </c>
    </row>
    <row r="18" customFormat="false" ht="15" hidden="false" customHeight="false" outlineLevel="0" collapsed="false">
      <c r="A18" s="23" t="s">
        <v>75</v>
      </c>
    </row>
    <row r="19" customFormat="false" ht="15" hidden="false" customHeight="false" outlineLevel="0" collapsed="false">
      <c r="A19" s="23" t="s">
        <v>76</v>
      </c>
    </row>
    <row r="20" customFormat="false" ht="15" hidden="false" customHeight="false" outlineLevel="0" collapsed="false">
      <c r="A20" s="23" t="s">
        <v>77</v>
      </c>
    </row>
    <row r="21" customFormat="false" ht="15" hidden="false" customHeight="false" outlineLevel="0" collapsed="false">
      <c r="A21" s="23"/>
    </row>
    <row r="22" customFormat="false" ht="15" hidden="false" customHeight="false" outlineLevel="0" collapsed="false">
      <c r="A22" s="23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2026-06-02T18:13:07Z</dcterms:created>
  <dc:creator>openpyxl</dc:creator>
  <dc:description/>
  <dc:language>en-US</dc:language>
  <cp:lastModifiedBy/>
  <dcterms:modified xsi:type="dcterms:W3CDTF">2026-06-02T18:13:07Z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